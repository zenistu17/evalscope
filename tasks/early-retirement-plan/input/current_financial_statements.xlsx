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Annual Inco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164" fontId="3" fillId="0" borderId="0" pivotButton="0" quotePrefix="0" xfId="0"/>
    <xf numFmtId="164" fontId="2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2" customWidth="1" min="3" max="3"/>
    <col width="12" customWidth="1" min="4" max="4"/>
    <col width="14" customWidth="1" min="5" max="5"/>
  </cols>
  <sheetData>
    <row r="1">
      <c r="A1" s="1" t="inlineStr">
        <is>
          <t>Thompson Family Balance Sheet</t>
        </is>
      </c>
    </row>
    <row r="2">
      <c r="A2" t="inlineStr">
        <is>
          <t>As of January 15, 2026</t>
        </is>
      </c>
    </row>
    <row r="3"/>
    <row r="4">
      <c r="A4" s="2" t="inlineStr">
        <is>
          <t>ASSETS</t>
        </is>
      </c>
    </row>
    <row r="5">
      <c r="A5" s="3" t="inlineStr">
        <is>
          <t>Liquid Assets</t>
        </is>
      </c>
    </row>
    <row r="6">
      <c r="A6" t="inlineStr">
        <is>
          <t>Checking Account - Chase</t>
        </is>
      </c>
      <c r="B6" s="4" t="n">
        <v>28500</v>
      </c>
    </row>
    <row r="7">
      <c r="A7" t="inlineStr">
        <is>
          <t>Savings Account - Chase</t>
        </is>
      </c>
      <c r="B7" s="4" t="n">
        <v>67000</v>
      </c>
    </row>
    <row r="8">
      <c r="A8" t="inlineStr">
        <is>
          <t>Money Market - Fidelity</t>
        </is>
      </c>
      <c r="B8" s="4" t="n">
        <v>42000</v>
      </c>
    </row>
    <row r="9">
      <c r="A9" t="inlineStr">
        <is>
          <t>Cash (Linda Business Account)</t>
        </is>
      </c>
      <c r="B9" s="4" t="n">
        <v>8500</v>
      </c>
    </row>
    <row r="10">
      <c r="A10" s="3" t="inlineStr">
        <is>
          <t>Total Liquid Assets</t>
        </is>
      </c>
      <c r="B10" s="5">
        <f>SUM(B6:B9)</f>
        <v/>
      </c>
    </row>
    <row r="11"/>
    <row r="12">
      <c r="A12" s="3" t="inlineStr">
        <is>
          <t>Taxable Investment Accounts</t>
        </is>
      </c>
    </row>
    <row r="13">
      <c r="A13" t="inlineStr">
        <is>
          <t>Fidelity Brokerage - Joint</t>
        </is>
      </c>
      <c r="B13" s="4" t="n">
        <v>285000</v>
      </c>
    </row>
    <row r="14">
      <c r="A14" t="inlineStr">
        <is>
          <t>Schwab Brokerage - Mike</t>
        </is>
      </c>
      <c r="B14" s="4" t="n">
        <v>95000</v>
      </c>
    </row>
    <row r="15">
      <c r="A15" t="inlineStr">
        <is>
          <t>TechFlow ESPP Shares (850 shares @ $68.50)</t>
        </is>
      </c>
      <c r="B15" s="4" t="n">
        <v>58225</v>
      </c>
    </row>
    <row r="16">
      <c r="A16" s="3" t="inlineStr">
        <is>
          <t>Total Taxable Investments</t>
        </is>
      </c>
      <c r="B16" s="5">
        <f>SUM(B13:B15)</f>
        <v/>
      </c>
    </row>
    <row r="17"/>
    <row r="18">
      <c r="A18" s="3" t="inlineStr">
        <is>
          <t>Retirement Accounts (see detailed schedule)</t>
        </is>
      </c>
    </row>
    <row r="19">
      <c r="A19" t="inlineStr">
        <is>
          <t>Mike 401(k) - TechFlow</t>
        </is>
      </c>
      <c r="B19" s="4" t="n">
        <v>1248000</v>
      </c>
    </row>
    <row r="20">
      <c r="A20" t="inlineStr">
        <is>
          <t>Mike Traditional IRA</t>
        </is>
      </c>
      <c r="B20" s="4" t="n">
        <v>185000</v>
      </c>
    </row>
    <row r="21">
      <c r="A21" t="inlineStr">
        <is>
          <t>Mike Roth IRA</t>
        </is>
      </c>
      <c r="B21" s="4" t="n">
        <v>95000</v>
      </c>
    </row>
    <row r="22">
      <c r="A22" t="inlineStr">
        <is>
          <t>Linda 401(k) - Former Employer</t>
        </is>
      </c>
      <c r="B22" s="4" t="n">
        <v>320000</v>
      </c>
    </row>
    <row r="23">
      <c r="A23" t="inlineStr">
        <is>
          <t>Linda Traditional IRA</t>
        </is>
      </c>
      <c r="B23" s="4" t="n">
        <v>75000</v>
      </c>
    </row>
    <row r="24">
      <c r="A24" t="inlineStr">
        <is>
          <t>Linda Roth IRA</t>
        </is>
      </c>
      <c r="B24" s="4" t="n">
        <v>45000</v>
      </c>
    </row>
    <row r="25">
      <c r="A25" s="3" t="inlineStr">
        <is>
          <t>Total Retirement Accounts</t>
        </is>
      </c>
      <c r="B25" s="5">
        <f>SUM(B19:B24)</f>
        <v/>
      </c>
    </row>
    <row r="26"/>
    <row r="27">
      <c r="A27" s="3" t="inlineStr">
        <is>
          <t>Real Estate</t>
        </is>
      </c>
    </row>
    <row r="28">
      <c r="A28" t="inlineStr">
        <is>
          <t>Primary Residence - San Jose (Market Value)</t>
        </is>
      </c>
      <c r="B28" s="4" t="n">
        <v>1450000</v>
      </c>
    </row>
    <row r="29">
      <c r="A29" t="inlineStr">
        <is>
          <t>Rental Property - Mountain View (Market Value)</t>
        </is>
      </c>
      <c r="B29" s="4" t="n">
        <v>725000</v>
      </c>
    </row>
    <row r="30">
      <c r="A30" s="3" t="inlineStr">
        <is>
          <t>Total Real Estate</t>
        </is>
      </c>
      <c r="B30" s="5">
        <f>SUM(B28:B29)</f>
        <v/>
      </c>
    </row>
    <row r="31"/>
    <row r="32">
      <c r="A32" s="3" t="inlineStr">
        <is>
          <t>Other Assets</t>
        </is>
      </c>
    </row>
    <row r="33">
      <c r="A33" t="inlineStr">
        <is>
          <t>2022 Toyota Highlander</t>
        </is>
      </c>
      <c r="B33" s="4" t="n">
        <v>32000</v>
      </c>
    </row>
    <row r="34">
      <c r="A34" t="inlineStr">
        <is>
          <t>2020 Honda Accord</t>
        </is>
      </c>
      <c r="B34" s="4" t="n">
        <v>18000</v>
      </c>
    </row>
    <row r="35">
      <c r="A35" t="inlineStr">
        <is>
          <t>Personal Property (furniture, electronics, etc.)</t>
        </is>
      </c>
      <c r="B35" s="4" t="n">
        <v>45000</v>
      </c>
    </row>
    <row r="36">
      <c r="A36" t="inlineStr">
        <is>
          <t>Linda Business Equipment</t>
        </is>
      </c>
      <c r="B36" s="4" t="n">
        <v>8000</v>
      </c>
    </row>
    <row r="37">
      <c r="A37" t="inlineStr">
        <is>
          <t>Unvested Stock Options (intrinsic value)</t>
        </is>
      </c>
      <c r="B37" s="4" t="n">
        <v>66250</v>
      </c>
    </row>
    <row r="38">
      <c r="A38" t="inlineStr">
        <is>
          <t>Vested Stock Options (intrinsic value)</t>
        </is>
      </c>
      <c r="B38" s="4" t="n">
        <v>162000</v>
      </c>
    </row>
    <row r="39">
      <c r="A39" s="3" t="inlineStr">
        <is>
          <t>Total Other Assets</t>
        </is>
      </c>
      <c r="B39" s="5">
        <f>SUM(B33:B38)</f>
        <v/>
      </c>
    </row>
    <row r="40"/>
    <row r="41">
      <c r="A41" s="2" t="inlineStr">
        <is>
          <t>TOTAL ASSETS</t>
        </is>
      </c>
      <c r="B41" s="6">
        <f>B10+B16+B25+B30+B39</f>
        <v/>
      </c>
    </row>
    <row r="42"/>
    <row r="43"/>
    <row r="44">
      <c r="A44" s="2" t="inlineStr">
        <is>
          <t>LIABILITIES</t>
        </is>
      </c>
    </row>
    <row r="45">
      <c r="A45" s="3" t="inlineStr">
        <is>
          <t>Description</t>
        </is>
      </c>
      <c r="B45" s="3" t="inlineStr">
        <is>
          <t>Balance</t>
        </is>
      </c>
      <c r="C45" s="3" t="inlineStr">
        <is>
          <t>Rate</t>
        </is>
      </c>
      <c r="D45" s="3" t="inlineStr">
        <is>
          <t>Term</t>
        </is>
      </c>
      <c r="E45" s="3" t="inlineStr">
        <is>
          <t>Payoff Date</t>
        </is>
      </c>
    </row>
    <row r="46">
      <c r="A46" t="inlineStr">
        <is>
          <t>Mortgage - Primary Residence</t>
        </is>
      </c>
      <c r="B46" s="4" t="n">
        <v>180000</v>
      </c>
      <c r="C46" t="inlineStr">
        <is>
          <t>2.875%</t>
        </is>
      </c>
      <c r="D46" t="inlineStr">
        <is>
          <t>15-yr fixed</t>
        </is>
      </c>
      <c r="E46" t="inlineStr">
        <is>
          <t>Oct 2035</t>
        </is>
      </c>
    </row>
    <row r="47">
      <c r="A47" t="inlineStr">
        <is>
          <t>Mortgage - Rental Property</t>
        </is>
      </c>
      <c r="B47" s="4" t="n">
        <v>285000</v>
      </c>
      <c r="C47" t="inlineStr">
        <is>
          <t>3.50%</t>
        </is>
      </c>
      <c r="D47" t="inlineStr">
        <is>
          <t>30-yr fixed</t>
        </is>
      </c>
      <c r="E47" t="inlineStr">
        <is>
          <t>Jun 2045</t>
        </is>
      </c>
    </row>
    <row r="48">
      <c r="A48" t="inlineStr">
        <is>
          <t>Auto Loan - Highlander</t>
        </is>
      </c>
      <c r="B48" s="4" t="n">
        <v>12000</v>
      </c>
      <c r="C48" t="inlineStr">
        <is>
          <t>4.25%</t>
        </is>
      </c>
      <c r="D48" t="inlineStr">
        <is>
          <t>60 mo</t>
        </is>
      </c>
      <c r="E48" t="inlineStr">
        <is>
          <t>Mar 2027</t>
        </is>
      </c>
    </row>
    <row r="49">
      <c r="A49" t="inlineStr">
        <is>
          <t>Credit Cards (paid in full monthly)</t>
        </is>
      </c>
      <c r="B49" s="4" t="n">
        <v>0</v>
      </c>
      <c r="C49" t="inlineStr">
        <is>
          <t>N/A</t>
        </is>
      </c>
      <c r="D49" t="inlineStr">
        <is>
          <t>N/A</t>
        </is>
      </c>
      <c r="E49" t="inlineStr">
        <is>
          <t>N/A</t>
        </is>
      </c>
    </row>
    <row r="50">
      <c r="A50" s="2" t="inlineStr">
        <is>
          <t>TOTAL LIABILITIES</t>
        </is>
      </c>
      <c r="B50" s="6">
        <f>SUM(B46:B49)</f>
        <v/>
      </c>
    </row>
    <row r="51"/>
    <row r="52">
      <c r="A52" s="1" t="inlineStr">
        <is>
          <t>NET WORTH</t>
        </is>
      </c>
      <c r="B52" s="7">
        <f>B41-B50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</cols>
  <sheetData>
    <row r="1">
      <c r="A1" s="1" t="inlineStr">
        <is>
          <t>Thompson Family Annual Income Summary</t>
        </is>
      </c>
    </row>
    <row r="2">
      <c r="A2" t="inlineStr">
        <is>
          <t>Calendar Year 2025 (Most Recent Full Year)</t>
        </is>
      </c>
    </row>
    <row r="3"/>
    <row r="4">
      <c r="A4" s="2" t="inlineStr">
        <is>
          <t>EARNED INCOME</t>
        </is>
      </c>
    </row>
    <row r="5">
      <c r="A5" t="inlineStr">
        <is>
          <t>Mike - TechFlow Base Salary</t>
        </is>
      </c>
      <c r="B5" s="4" t="n">
        <v>185000</v>
      </c>
    </row>
    <row r="6">
      <c r="A6" t="inlineStr">
        <is>
          <t>Mike - TechFlow Bonus (2025)</t>
        </is>
      </c>
      <c r="B6" s="4" t="n">
        <v>32000</v>
      </c>
    </row>
    <row r="7">
      <c r="A7" t="inlineStr">
        <is>
          <t>Mike - ESPP Discount Benefit</t>
        </is>
      </c>
      <c r="B7" s="4" t="n">
        <v>4200</v>
      </c>
    </row>
    <row r="8">
      <c r="A8" t="inlineStr">
        <is>
          <t>Linda - Consulting Revenue (Gross)</t>
        </is>
      </c>
      <c r="B8" s="4" t="n">
        <v>52000</v>
      </c>
    </row>
    <row r="9">
      <c r="A9" t="inlineStr">
        <is>
          <t>Linda - Business Expenses</t>
        </is>
      </c>
      <c r="B9" s="4" t="n">
        <v>-8500</v>
      </c>
    </row>
    <row r="10">
      <c r="A10" s="3" t="inlineStr">
        <is>
          <t>Total Earned Income</t>
        </is>
      </c>
      <c r="B10" s="5">
        <f>SUM(B5:B9)</f>
        <v/>
      </c>
    </row>
    <row r="11"/>
    <row r="12">
      <c r="A12" s="2" t="inlineStr">
        <is>
          <t>INVESTMENT INCOME</t>
        </is>
      </c>
    </row>
    <row r="13">
      <c r="A13" t="inlineStr">
        <is>
          <t>Dividends - Taxable Accounts</t>
        </is>
      </c>
      <c r="B13" s="4" t="n">
        <v>8200</v>
      </c>
    </row>
    <row r="14">
      <c r="A14" t="inlineStr">
        <is>
          <t>Interest - Savings/Money Market</t>
        </is>
      </c>
      <c r="B14" s="4" t="n">
        <v>2800</v>
      </c>
    </row>
    <row r="15">
      <c r="A15" t="inlineStr">
        <is>
          <t>Capital Gains Distributions</t>
        </is>
      </c>
      <c r="B15" s="4" t="n">
        <v>4500</v>
      </c>
    </row>
    <row r="16">
      <c r="A16" s="3" t="inlineStr">
        <is>
          <t>Total Investment Income</t>
        </is>
      </c>
      <c r="B16" s="5">
        <f>SUM(B13:B15)</f>
        <v/>
      </c>
    </row>
    <row r="17"/>
    <row r="18">
      <c r="A18" s="2" t="inlineStr">
        <is>
          <t>RENTAL INCOME</t>
        </is>
      </c>
    </row>
    <row r="19">
      <c r="A19" t="inlineStr">
        <is>
          <t>Gross Rental Income</t>
        </is>
      </c>
      <c r="B19" s="4" t="n">
        <v>38400</v>
      </c>
    </row>
    <row r="20">
      <c r="A20" t="inlineStr">
        <is>
          <t>Less: Mortgage Interest</t>
        </is>
      </c>
      <c r="B20" s="4" t="n">
        <v>-9200</v>
      </c>
    </row>
    <row r="21">
      <c r="A21" t="inlineStr">
        <is>
          <t>Less: Property Tax</t>
        </is>
      </c>
      <c r="B21" s="4" t="n">
        <v>-6800</v>
      </c>
    </row>
    <row r="22">
      <c r="A22" t="inlineStr">
        <is>
          <t>Less: Insurance</t>
        </is>
      </c>
      <c r="B22" s="4" t="n">
        <v>-1800</v>
      </c>
    </row>
    <row r="23">
      <c r="A23" t="inlineStr">
        <is>
          <t>Less: HOA Fees</t>
        </is>
      </c>
      <c r="B23" s="4" t="n">
        <v>-4800</v>
      </c>
    </row>
    <row r="24">
      <c r="A24" t="inlineStr">
        <is>
          <t>Less: Maintenance/Repairs</t>
        </is>
      </c>
      <c r="B24" s="4" t="n">
        <v>-2400</v>
      </c>
    </row>
    <row r="25">
      <c r="A25" t="inlineStr">
        <is>
          <t>Less: Property Management</t>
        </is>
      </c>
      <c r="B25" s="4" t="n">
        <v>0</v>
      </c>
    </row>
    <row r="26">
      <c r="A26" t="inlineStr">
        <is>
          <t>Depreciation (non-cash)</t>
        </is>
      </c>
      <c r="B26" s="4" t="n">
        <v>-19600</v>
      </c>
    </row>
    <row r="27">
      <c r="A27" s="3" t="inlineStr">
        <is>
          <t>Net Rental Income (Tax Basis)</t>
        </is>
      </c>
      <c r="B27" s="5">
        <f>SUM(B19:B26)</f>
        <v/>
      </c>
    </row>
    <row r="28">
      <c r="A28" s="3" t="inlineStr">
        <is>
          <t>Net Rental Cash Flow (add back depreciation)</t>
        </is>
      </c>
      <c r="B28" s="5">
        <f>B27+19600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2026-01-25T15:29:45Z</dcterms:created>
  <dcterms:modified xmlns:dcterms="http://purl.org/dc/terms/" xmlns:xsi="http://www.w3.org/2001/XMLSchema-instance" xsi:type="dcterms:W3CDTF">2026-01-25T15:40:10Z</dcterms:modified>
</cp:coreProperties>
</file>