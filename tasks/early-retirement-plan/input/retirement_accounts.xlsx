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ke 401k" sheetId="1" state="visible" r:id="rId1"/>
    <sheet xmlns:r="http://schemas.openxmlformats.org/officeDocument/2006/relationships" name="Mike Trad IRA" sheetId="2" state="visible" r:id="rId2"/>
    <sheet xmlns:r="http://schemas.openxmlformats.org/officeDocument/2006/relationships" name="Mike Roth IRA" sheetId="3" state="visible" r:id="rId3"/>
    <sheet xmlns:r="http://schemas.openxmlformats.org/officeDocument/2006/relationships" name="Linda 401k" sheetId="4" state="visible" r:id="rId4"/>
    <sheet xmlns:r="http://schemas.openxmlformats.org/officeDocument/2006/relationships" name="Linda IRA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5" fontId="3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TechFlow Systems 401(k) Plan - Mike Thompson</t>
        </is>
      </c>
    </row>
    <row r="2">
      <c r="A2" t="inlineStr">
        <is>
          <t>Statement Date: December 31, 2025</t>
        </is>
      </c>
    </row>
    <row r="3">
      <c r="A3" t="inlineStr">
        <is>
          <t>Participant ID: RC-2007-0892</t>
        </is>
      </c>
    </row>
    <row r="5">
      <c r="A5" s="2" t="inlineStr">
        <is>
          <t>Account Summary</t>
        </is>
      </c>
    </row>
    <row r="6">
      <c r="A6" s="3" t="inlineStr">
        <is>
          <t>Investment Option</t>
        </is>
      </c>
      <c r="B6" s="3" t="inlineStr">
        <is>
          <t>Ticker</t>
        </is>
      </c>
      <c r="C6" s="3" t="inlineStr">
        <is>
          <t>Shares/Units</t>
        </is>
      </c>
      <c r="D6" s="3" t="inlineStr">
        <is>
          <t>Price</t>
        </is>
      </c>
      <c r="E6" s="3" t="inlineStr">
        <is>
          <t>Balance</t>
        </is>
      </c>
      <c r="F6" s="3" t="inlineStr">
        <is>
          <t>Allocation %</t>
        </is>
      </c>
    </row>
    <row r="7">
      <c r="A7" t="inlineStr">
        <is>
          <t>Vanguard Institutional Index</t>
        </is>
      </c>
      <c r="B7" t="inlineStr">
        <is>
          <t>VINIX</t>
        </is>
      </c>
      <c r="C7" t="n">
        <v>2850.234</v>
      </c>
      <c r="D7" s="4" t="n">
        <v>425.5</v>
      </c>
      <c r="E7" s="4" t="n">
        <v>1212774.57</v>
      </c>
      <c r="F7" t="inlineStr">
        <is>
          <t>97.2%</t>
        </is>
      </c>
    </row>
    <row r="8">
      <c r="A8" t="inlineStr">
        <is>
          <t>Vanguard Total Bond Market Index</t>
        </is>
      </c>
      <c r="B8" t="inlineStr">
        <is>
          <t>VBTIX</t>
        </is>
      </c>
      <c r="C8" t="n">
        <v>285</v>
      </c>
      <c r="D8" s="4" t="n">
        <v>98.75</v>
      </c>
      <c r="E8" s="4" t="n">
        <v>28143.75</v>
      </c>
      <c r="F8" t="inlineStr">
        <is>
          <t>2.3%</t>
        </is>
      </c>
    </row>
    <row r="9">
      <c r="A9" t="inlineStr">
        <is>
          <t>Stable Value Fund</t>
        </is>
      </c>
      <c r="B9" t="inlineStr">
        <is>
          <t>N/A</t>
        </is>
      </c>
      <c r="C9" t="n">
        <v>7081.68</v>
      </c>
      <c r="D9" s="4" t="n">
        <v>1</v>
      </c>
      <c r="E9" s="4" t="n">
        <v>7081.68</v>
      </c>
      <c r="F9" t="inlineStr">
        <is>
          <t>0.5%</t>
        </is>
      </c>
    </row>
    <row r="10">
      <c r="A10" s="3" t="inlineStr">
        <is>
          <t>TOTAL</t>
        </is>
      </c>
      <c r="E10" s="5" t="n">
        <v>1248000</v>
      </c>
    </row>
    <row r="12">
      <c r="A12" s="3" t="inlineStr">
        <is>
          <t>Contribution History (2025):</t>
        </is>
      </c>
    </row>
    <row r="13">
      <c r="A13" t="inlineStr">
        <is>
          <t>Employee Pre-Tax Contributions</t>
        </is>
      </c>
      <c r="B13" s="6" t="n">
        <v>23000</v>
      </c>
    </row>
    <row r="14">
      <c r="A14" t="inlineStr">
        <is>
          <t>Employer Match (4% of salary)</t>
        </is>
      </c>
      <c r="B14" s="6" t="n">
        <v>7400</v>
      </c>
    </row>
    <row r="15">
      <c r="A15" t="inlineStr">
        <is>
          <t>Total 2025 Contributions</t>
        </is>
      </c>
      <c r="B15" s="6" t="n">
        <v>30400</v>
      </c>
    </row>
    <row r="17">
      <c r="A17" t="inlineStr">
        <is>
          <t>Vesting: 100% vested (18 years of service)</t>
        </is>
      </c>
    </row>
    <row r="18">
      <c r="A18" t="inlineStr">
        <is>
          <t>Loan Outstanding: None</t>
        </is>
      </c>
    </row>
    <row r="19">
      <c r="A19" t="inlineStr">
        <is>
          <t>Beneficiary: Linda M. Thompson (100% Primary)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Fidelity Traditional IRA - Mike Thompson</t>
        </is>
      </c>
    </row>
    <row r="2">
      <c r="A2" s="7" t="inlineStr">
        <is>
          <t>Account #: Z12-345678</t>
        </is>
      </c>
    </row>
    <row r="3">
      <c r="A3" t="inlineStr">
        <is>
          <t>Statement Date: December 31, 2025</t>
        </is>
      </c>
    </row>
    <row r="5">
      <c r="A5" s="2" t="inlineStr">
        <is>
          <t>Holdings</t>
        </is>
      </c>
    </row>
    <row r="6">
      <c r="A6" s="3" t="inlineStr">
        <is>
          <t>Security</t>
        </is>
      </c>
      <c r="B6" s="3" t="inlineStr">
        <is>
          <t>Ticker</t>
        </is>
      </c>
      <c r="C6" s="3" t="inlineStr">
        <is>
          <t>Shares</t>
        </is>
      </c>
      <c r="D6" s="3" t="inlineStr">
        <is>
          <t>Price</t>
        </is>
      </c>
      <c r="E6" s="3" t="inlineStr">
        <is>
          <t>Value</t>
        </is>
      </c>
      <c r="F6" s="3" t="inlineStr">
        <is>
          <t>Cost Basis</t>
        </is>
      </c>
    </row>
    <row r="7">
      <c r="A7" t="inlineStr">
        <is>
          <t>Fidelity 500 Index Fund</t>
        </is>
      </c>
      <c r="B7" t="inlineStr">
        <is>
          <t>FXAIX</t>
        </is>
      </c>
      <c r="C7" t="n">
        <v>520.123</v>
      </c>
      <c r="D7" s="4" t="n">
        <v>198.5</v>
      </c>
      <c r="E7" s="4" t="n">
        <v>103244.41</v>
      </c>
      <c r="F7" s="4" t="n">
        <v>78500</v>
      </c>
    </row>
    <row r="8">
      <c r="A8" t="inlineStr">
        <is>
          <t>Fidelity Total Market Index</t>
        </is>
      </c>
      <c r="B8" t="inlineStr">
        <is>
          <t>FSKAX</t>
        </is>
      </c>
      <c r="C8" t="n">
        <v>285.5</v>
      </c>
      <c r="D8" s="4" t="n">
        <v>142.25</v>
      </c>
      <c r="E8" s="4" t="n">
        <v>40622.38</v>
      </c>
      <c r="F8" s="4" t="n">
        <v>32000</v>
      </c>
    </row>
    <row r="9">
      <c r="A9" t="inlineStr">
        <is>
          <t>Fidelity International Index</t>
        </is>
      </c>
      <c r="B9" t="inlineStr">
        <is>
          <t>FSPSX</t>
        </is>
      </c>
      <c r="C9" t="n">
        <v>412</v>
      </c>
      <c r="D9" s="4" t="n">
        <v>52.8</v>
      </c>
      <c r="E9" s="4" t="n">
        <v>21753.6</v>
      </c>
      <c r="F9" s="4" t="n">
        <v>24500</v>
      </c>
    </row>
    <row r="10">
      <c r="A10" t="inlineStr">
        <is>
          <t>Fidelity US Bond Index</t>
        </is>
      </c>
      <c r="B10" t="inlineStr">
        <is>
          <t>FXNAX</t>
        </is>
      </c>
      <c r="C10" t="n">
        <v>850.25</v>
      </c>
      <c r="D10" s="4" t="n">
        <v>10.45</v>
      </c>
      <c r="E10" s="4" t="n">
        <v>8885.110000000001</v>
      </c>
      <c r="F10" s="4" t="n">
        <v>9200</v>
      </c>
    </row>
    <row r="11">
      <c r="A11" t="inlineStr">
        <is>
          <t>Cash (SPAXX)</t>
        </is>
      </c>
      <c r="B11" t="inlineStr">
        <is>
          <t>SPAXX</t>
        </is>
      </c>
      <c r="C11" t="n">
        <v>10494.5</v>
      </c>
      <c r="D11" s="4" t="n">
        <v>1</v>
      </c>
      <c r="E11" s="4" t="n">
        <v>10494.5</v>
      </c>
      <c r="F11" s="4" t="n">
        <v>10494.5</v>
      </c>
    </row>
    <row r="12">
      <c r="A12" s="3" t="inlineStr">
        <is>
          <t>TOTAL</t>
        </is>
      </c>
      <c r="E12" s="5" t="n">
        <v>185000</v>
      </c>
    </row>
    <row r="14">
      <c r="A14" t="inlineStr">
        <is>
          <t>Source: Rollover from previous employer 401(k) in 2015</t>
        </is>
      </c>
    </row>
    <row r="15">
      <c r="A15" t="inlineStr">
        <is>
          <t>No non-deductible contributions (100% pre-tax)</t>
        </is>
      </c>
    </row>
    <row r="16">
      <c r="A16" t="inlineStr">
        <is>
          <t>Beneficiary: Linda M. Thompson (100% Primary)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Fidelity Roth IRA - Mike Thompson</t>
        </is>
      </c>
    </row>
    <row r="2">
      <c r="A2" t="inlineStr">
        <is>
          <t>Account #: Z12-345679</t>
        </is>
      </c>
    </row>
    <row r="3">
      <c r="A3" t="inlineStr">
        <is>
          <t>Statement Date: December 31, 2025</t>
        </is>
      </c>
    </row>
    <row r="5">
      <c r="A5" s="2" t="inlineStr">
        <is>
          <t>Holdings</t>
        </is>
      </c>
    </row>
    <row r="6">
      <c r="A6" s="3" t="inlineStr">
        <is>
          <t>Security</t>
        </is>
      </c>
      <c r="B6" s="3" t="inlineStr">
        <is>
          <t>Ticker</t>
        </is>
      </c>
      <c r="C6" s="3" t="inlineStr">
        <is>
          <t>Shares</t>
        </is>
      </c>
      <c r="D6" s="3" t="inlineStr">
        <is>
          <t>Price</t>
        </is>
      </c>
      <c r="E6" s="3" t="inlineStr">
        <is>
          <t>Value</t>
        </is>
      </c>
    </row>
    <row r="7">
      <c r="A7" t="inlineStr">
        <is>
          <t>Fidelity Growth Company Fund</t>
        </is>
      </c>
      <c r="B7" t="inlineStr">
        <is>
          <t>FDGRX</t>
        </is>
      </c>
      <c r="C7" t="n">
        <v>225</v>
      </c>
      <c r="D7" s="4" t="n">
        <v>285.5</v>
      </c>
      <c r="E7" s="4" t="n">
        <v>64237.5</v>
      </c>
    </row>
    <row r="8">
      <c r="A8" t="inlineStr">
        <is>
          <t>Fidelity 500 Index Fund</t>
        </is>
      </c>
      <c r="B8" t="inlineStr">
        <is>
          <t>FXAIX</t>
        </is>
      </c>
      <c r="C8" t="n">
        <v>105.234</v>
      </c>
      <c r="D8" s="4" t="n">
        <v>198.5</v>
      </c>
      <c r="E8" s="4" t="n">
        <v>20888.95</v>
      </c>
    </row>
    <row r="9">
      <c r="A9" t="inlineStr">
        <is>
          <t>Cash (SPAXX)</t>
        </is>
      </c>
      <c r="B9" t="inlineStr">
        <is>
          <t>SPAXX</t>
        </is>
      </c>
      <c r="C9" t="n">
        <v>9873.549999999999</v>
      </c>
      <c r="D9" s="4" t="n">
        <v>1</v>
      </c>
      <c r="E9" s="4" t="n">
        <v>9873.549999999999</v>
      </c>
    </row>
    <row r="10">
      <c r="A10" s="3" t="inlineStr">
        <is>
          <t>TOTAL</t>
        </is>
      </c>
      <c r="E10" s="5" t="n">
        <v>95000</v>
      </c>
    </row>
    <row r="12">
      <c r="A12" t="inlineStr">
        <is>
          <t>Account opened: 2010</t>
        </is>
      </c>
    </row>
    <row r="13">
      <c r="A13" t="inlineStr">
        <is>
          <t>Total Contributions: $72,000</t>
        </is>
      </c>
    </row>
    <row r="14">
      <c r="A14" t="inlineStr">
        <is>
          <t>Total Earnings: $23,000</t>
        </is>
      </c>
    </row>
    <row r="15">
      <c r="A15" t="inlineStr">
        <is>
          <t>5-year rule satisfied: Yes (contributions fully accessible)</t>
        </is>
      </c>
    </row>
    <row r="16">
      <c r="A16" t="inlineStr">
        <is>
          <t>Beneficiary: Linda M. Thompson (100% Primary)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Schwab 401(k) Plan - Linda Thompson</t>
        </is>
      </c>
    </row>
    <row r="2">
      <c r="A2" t="inlineStr">
        <is>
          <t>(Former Employer - GlobalMark Inc.)</t>
        </is>
      </c>
    </row>
    <row r="3">
      <c r="A3" t="inlineStr">
        <is>
          <t>Account #: 8765-4321-SC</t>
        </is>
      </c>
    </row>
    <row r="4">
      <c r="A4" t="inlineStr">
        <is>
          <t>Statement Date: December 31, 2025</t>
        </is>
      </c>
    </row>
    <row r="6">
      <c r="A6" s="2" t="inlineStr">
        <is>
          <t>Holdings</t>
        </is>
      </c>
    </row>
    <row r="7">
      <c r="A7" s="3" t="inlineStr">
        <is>
          <t>Investment</t>
        </is>
      </c>
      <c r="B7" s="3" t="inlineStr">
        <is>
          <t>Ticker</t>
        </is>
      </c>
      <c r="C7" s="3" t="inlineStr">
        <is>
          <t>Shares</t>
        </is>
      </c>
      <c r="D7" s="3" t="inlineStr">
        <is>
          <t>Price</t>
        </is>
      </c>
      <c r="E7" s="3" t="inlineStr">
        <is>
          <t>Balance</t>
        </is>
      </c>
    </row>
    <row r="8">
      <c r="A8" t="inlineStr">
        <is>
          <t>Schwab S&amp;P 500 Index</t>
        </is>
      </c>
      <c r="B8" t="inlineStr">
        <is>
          <t>SWPPX</t>
        </is>
      </c>
      <c r="C8" t="n">
        <v>2450</v>
      </c>
      <c r="D8" s="4" t="n">
        <v>85.5</v>
      </c>
      <c r="E8" s="4" t="n">
        <v>209475</v>
      </c>
    </row>
    <row r="9">
      <c r="A9" t="inlineStr">
        <is>
          <t>Schwab Total Stock Market</t>
        </is>
      </c>
      <c r="B9" t="inlineStr">
        <is>
          <t>SWTSX</t>
        </is>
      </c>
      <c r="C9" t="n">
        <v>950.25</v>
      </c>
      <c r="D9" s="4" t="n">
        <v>78.25</v>
      </c>
      <c r="E9" s="4" t="n">
        <v>74357.06</v>
      </c>
    </row>
    <row r="10">
      <c r="A10" t="inlineStr">
        <is>
          <t>Schwab International Index</t>
        </is>
      </c>
      <c r="B10" t="inlineStr">
        <is>
          <t>SWISX</t>
        </is>
      </c>
      <c r="C10" t="n">
        <v>485</v>
      </c>
      <c r="D10" s="4" t="n">
        <v>42.5</v>
      </c>
      <c r="E10" s="4" t="n">
        <v>20612.5</v>
      </c>
    </row>
    <row r="11">
      <c r="A11" t="inlineStr">
        <is>
          <t>Schwab US Aggregate Bond</t>
        </is>
      </c>
      <c r="B11" t="inlineStr">
        <is>
          <t>SWAGX</t>
        </is>
      </c>
      <c r="C11" t="n">
        <v>650</v>
      </c>
      <c r="D11" s="4" t="n">
        <v>9.800000000000001</v>
      </c>
      <c r="E11" s="4" t="n">
        <v>6370</v>
      </c>
    </row>
    <row r="12">
      <c r="A12" t="inlineStr">
        <is>
          <t>Money Market</t>
        </is>
      </c>
      <c r="B12" t="inlineStr">
        <is>
          <t>SWVXX</t>
        </is>
      </c>
      <c r="C12" t="n">
        <v>9185.440000000001</v>
      </c>
      <c r="D12" s="4" t="n">
        <v>1</v>
      </c>
      <c r="E12" s="4" t="n">
        <v>9185.440000000001</v>
      </c>
    </row>
    <row r="13">
      <c r="A13" s="3" t="inlineStr">
        <is>
          <t>TOTAL</t>
        </is>
      </c>
      <c r="E13" s="5" t="n">
        <v>320000</v>
      </c>
    </row>
    <row r="15">
      <c r="A15" t="inlineStr">
        <is>
          <t>Status: Separated from service (2018)</t>
        </is>
      </c>
    </row>
    <row r="16">
      <c r="A16" t="inlineStr">
        <is>
          <t>Vesting: 100%</t>
        </is>
      </c>
    </row>
    <row r="17">
      <c r="A17" t="inlineStr">
        <is>
          <t>Beneficiary: Mike D. Thompson (100% Primary)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Linda Thompson - IRA Summary</t>
        </is>
      </c>
    </row>
    <row r="2">
      <c r="A2" t="inlineStr">
        <is>
          <t>Statement Date: December 31, 2025</t>
        </is>
      </c>
    </row>
    <row r="4">
      <c r="A4" s="2" t="inlineStr">
        <is>
          <t>TRADITIONAL IRA - Vanguard</t>
        </is>
      </c>
    </row>
    <row r="5">
      <c r="A5" t="inlineStr">
        <is>
          <t>Account #: 8234-5678</t>
        </is>
      </c>
    </row>
    <row r="6">
      <c r="A6" s="3" t="inlineStr">
        <is>
          <t>Fund</t>
        </is>
      </c>
      <c r="B6" s="3" t="inlineStr">
        <is>
          <t>Ticker</t>
        </is>
      </c>
      <c r="C6" s="3" t="inlineStr">
        <is>
          <t>Shares</t>
        </is>
      </c>
      <c r="D6" s="3" t="inlineStr">
        <is>
          <t>Price</t>
        </is>
      </c>
      <c r="E6" s="3" t="inlineStr">
        <is>
          <t>Balance</t>
        </is>
      </c>
    </row>
    <row r="7">
      <c r="A7" t="inlineStr">
        <is>
          <t>Vanguard LifeStrategy Moderate Growth</t>
        </is>
      </c>
      <c r="B7" t="inlineStr">
        <is>
          <t>VSMGX</t>
        </is>
      </c>
      <c r="C7" t="n">
        <v>1650.5</v>
      </c>
      <c r="D7" s="4" t="n">
        <v>38.75</v>
      </c>
      <c r="E7" s="4" t="n">
        <v>63956.88</v>
      </c>
    </row>
    <row r="8">
      <c r="A8" t="inlineStr">
        <is>
          <t>Vanguard Money Market</t>
        </is>
      </c>
      <c r="B8" t="inlineStr">
        <is>
          <t>VMMXX</t>
        </is>
      </c>
      <c r="C8" t="n">
        <v>11043.12</v>
      </c>
      <c r="D8" s="4" t="n">
        <v>1</v>
      </c>
      <c r="E8" s="4" t="n">
        <v>11043.12</v>
      </c>
    </row>
    <row r="9">
      <c r="A9" s="3" t="inlineStr">
        <is>
          <t>Traditional IRA Total</t>
        </is>
      </c>
      <c r="E9" s="5" t="n">
        <v>75000</v>
      </c>
    </row>
    <row r="12">
      <c r="A12" s="2" t="inlineStr">
        <is>
          <t>ROTH IRA - Vanguard</t>
        </is>
      </c>
    </row>
    <row r="13">
      <c r="A13" t="inlineStr">
        <is>
          <t>Account #: 8234-5679</t>
        </is>
      </c>
    </row>
    <row r="14">
      <c r="A14" s="3" t="inlineStr">
        <is>
          <t>Fund</t>
        </is>
      </c>
      <c r="B14" s="3" t="inlineStr">
        <is>
          <t>Ticker</t>
        </is>
      </c>
      <c r="C14" s="3" t="inlineStr">
        <is>
          <t>Shares</t>
        </is>
      </c>
      <c r="D14" s="3" t="inlineStr">
        <is>
          <t>Price</t>
        </is>
      </c>
      <c r="E14" s="3" t="inlineStr">
        <is>
          <t>Balance</t>
        </is>
      </c>
    </row>
    <row r="15">
      <c r="A15" t="inlineStr">
        <is>
          <t>Vanguard Growth Index</t>
        </is>
      </c>
      <c r="B15" t="inlineStr">
        <is>
          <t>VIGAX</t>
        </is>
      </c>
      <c r="C15" t="n">
        <v>125.5</v>
      </c>
      <c r="D15" s="4" t="n">
        <v>298.5</v>
      </c>
      <c r="E15" s="4" t="n">
        <v>37461.75</v>
      </c>
    </row>
    <row r="16">
      <c r="A16" t="inlineStr">
        <is>
          <t>Vanguard Money Market</t>
        </is>
      </c>
      <c r="B16" t="inlineStr">
        <is>
          <t>VMMXX</t>
        </is>
      </c>
      <c r="C16" t="n">
        <v>7538.25</v>
      </c>
      <c r="D16" s="4" t="n">
        <v>1</v>
      </c>
      <c r="E16" s="4" t="n">
        <v>7538.25</v>
      </c>
    </row>
    <row r="17">
      <c r="A17" s="3" t="inlineStr">
        <is>
          <t>Roth IRA Total</t>
        </is>
      </c>
      <c r="E17" s="5" t="n">
        <v>45000</v>
      </c>
    </row>
    <row r="19">
      <c r="A19" t="inlineStr">
        <is>
          <t>Roth IRA opened: 2012</t>
        </is>
      </c>
    </row>
    <row r="20">
      <c r="A20" t="inlineStr">
        <is>
          <t>5-year rule satisfied: Yes</t>
        </is>
      </c>
    </row>
    <row r="21">
      <c r="A21" t="inlineStr">
        <is>
          <t>Beneficiary: Mike D. Thompson (100% Primary)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Thompson Family Retirement Account Summary</t>
        </is>
      </c>
    </row>
    <row r="2">
      <c r="A2" t="inlineStr">
        <is>
          <t>As of December 31, 2025</t>
        </is>
      </c>
    </row>
    <row r="3"/>
    <row r="4">
      <c r="A4" s="3" t="inlineStr">
        <is>
          <t>Account</t>
        </is>
      </c>
      <c r="B4" s="3" t="inlineStr">
        <is>
          <t>Owner</t>
        </is>
      </c>
      <c r="C4" s="3" t="inlineStr">
        <is>
          <t>Balance</t>
        </is>
      </c>
      <c r="D4" s="3" t="inlineStr">
        <is>
          <t>Tax Treatment</t>
        </is>
      </c>
    </row>
    <row r="5">
      <c r="A5" t="inlineStr">
        <is>
          <t>401(k) - TechFlow</t>
        </is>
      </c>
      <c r="B5" t="inlineStr">
        <is>
          <t>Mike</t>
        </is>
      </c>
      <c r="C5" s="6" t="n">
        <v>1248000</v>
      </c>
      <c r="D5" t="inlineStr">
        <is>
          <t>Pre-Tax</t>
        </is>
      </c>
    </row>
    <row r="6">
      <c r="A6" t="inlineStr">
        <is>
          <t>Traditional IRA</t>
        </is>
      </c>
      <c r="B6" t="inlineStr">
        <is>
          <t>Mike</t>
        </is>
      </c>
      <c r="C6" s="6" t="n">
        <v>185000</v>
      </c>
      <c r="D6" t="inlineStr">
        <is>
          <t>Pre-Tax</t>
        </is>
      </c>
    </row>
    <row r="7">
      <c r="A7" t="inlineStr">
        <is>
          <t>Roth IRA</t>
        </is>
      </c>
      <c r="B7" t="inlineStr">
        <is>
          <t>Mike</t>
        </is>
      </c>
      <c r="C7" s="6" t="n">
        <v>95000</v>
      </c>
      <c r="D7" t="inlineStr">
        <is>
          <t>Tax-Free</t>
        </is>
      </c>
    </row>
    <row r="8">
      <c r="A8" t="inlineStr">
        <is>
          <t>401(k) - GlobalMark (former)</t>
        </is>
      </c>
      <c r="B8" t="inlineStr">
        <is>
          <t>Linda</t>
        </is>
      </c>
      <c r="C8" s="6" t="n">
        <v>320000</v>
      </c>
      <c r="D8" t="inlineStr">
        <is>
          <t>Pre-Tax</t>
        </is>
      </c>
    </row>
    <row r="9">
      <c r="A9" t="inlineStr">
        <is>
          <t>Traditional IRA</t>
        </is>
      </c>
      <c r="B9" t="inlineStr">
        <is>
          <t>Linda</t>
        </is>
      </c>
      <c r="C9" s="6" t="n">
        <v>75000</v>
      </c>
      <c r="D9" t="inlineStr">
        <is>
          <t>Pre-Tax</t>
        </is>
      </c>
    </row>
    <row r="10">
      <c r="A10" t="inlineStr">
        <is>
          <t>Roth IRA</t>
        </is>
      </c>
      <c r="B10" t="inlineStr">
        <is>
          <t>Linda</t>
        </is>
      </c>
      <c r="C10" s="6" t="n">
        <v>45000</v>
      </c>
      <c r="D10" t="inlineStr">
        <is>
          <t>Tax-Free</t>
        </is>
      </c>
    </row>
    <row r="11"/>
    <row r="12">
      <c r="A12" s="3" t="inlineStr">
        <is>
          <t>TOTAL PRE-TAX</t>
        </is>
      </c>
      <c r="C12" s="8">
        <f>1248000+185000+320000+75000</f>
        <v/>
      </c>
    </row>
    <row r="13">
      <c r="A13" s="3" t="inlineStr">
        <is>
          <t>TOTAL ROTH (TAX-FREE)</t>
        </is>
      </c>
      <c r="C13" s="8">
        <f>95000+45000</f>
        <v/>
      </c>
    </row>
    <row r="14">
      <c r="A14" s="2" t="inlineStr">
        <is>
          <t>GRAND TOTAL</t>
        </is>
      </c>
      <c r="C14" s="9">
        <f>1248000+185000+95000+320000+75000+45000</f>
        <v/>
      </c>
    </row>
    <row r="15"/>
    <row r="16"/>
    <row r="17">
      <c r="A17" s="3" t="inlineStr">
        <is>
          <t>Notes:</t>
        </is>
      </c>
    </row>
    <row r="18">
      <c r="A18" t="inlineStr">
        <is>
          <t>- Mike RMD begins at age 75 (year 2042)</t>
        </is>
      </c>
    </row>
    <row r="19">
      <c r="A19" t="inlineStr">
        <is>
          <t>- Linda RMD begins at age 75 (year 2045)</t>
        </is>
      </c>
    </row>
    <row r="20">
      <c r="A20" t="inlineStr">
        <is>
          <t>- Consider Roth conversion opportunities if Mike retires (lower income years)</t>
        </is>
      </c>
    </row>
    <row r="21">
      <c r="A21" t="inlineStr">
        <is>
          <t>- Pension lump sum, if elected, can be rolled to Traditional 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2026-01-25T15:31:12Z</dcterms:created>
  <dcterms:modified xmlns:dcterms="http://purl.org/dc/terms/" xmlns:xsi="http://www.w3.org/2001/XMLSchema-instance" xsi:type="dcterms:W3CDTF">2026-01-25T17:55:06Z</dcterms:modified>
</cp:coreProperties>
</file>